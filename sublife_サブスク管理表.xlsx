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ブスク一覧" sheetId="1" state="visible" r:id="rId3"/>
    <sheet name="ダッシュボード" sheetId="2" state="visible" r:id="rId4"/>
    <sheet name="月次レビュ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<sst xmlns="http://schemas.openxmlformats.org/spreadsheetml/2006/main" count="155" uniqueCount="99">
  <si>
    <r>
      <rPr>
        <b val="true"/>
        <sz val="16"/>
        <color rgb="FFFFFFFF"/>
        <rFont val="Arial"/>
        <family val="0"/>
        <charset val="1"/>
      </rPr>
      <t xml:space="preserve">📋  SubLife — </t>
    </r>
    <r>
      <rPr>
        <b val="true"/>
        <sz val="16"/>
        <color rgb="FFFFFFFF"/>
        <rFont val="DejaVu Sans"/>
        <family val="2"/>
      </rPr>
      <t xml:space="preserve">サブスク管理表</t>
    </r>
  </si>
  <si>
    <t xml:space="preserve">購入項目</t>
  </si>
  <si>
    <t xml:space="preserve">月次費用</t>
  </si>
  <si>
    <t xml:space="preserve">投資目的</t>
  </si>
  <si>
    <t xml:space="preserve">カテゴリ</t>
  </si>
  <si>
    <t xml:space="preserve">投資対効果</t>
  </si>
  <si>
    <t xml:space="preserve">年間費用</t>
  </si>
  <si>
    <t xml:space="preserve">使用頻度</t>
  </si>
  <si>
    <t xml:space="preserve">更新日</t>
  </si>
  <si>
    <t xml:space="preserve">備考</t>
  </si>
  <si>
    <t xml:space="preserve">🤖 Claude Pro</t>
  </si>
  <si>
    <t xml:space="preserve">業務効率化・コード生成</t>
  </si>
  <si>
    <t xml:space="preserve">仕事</t>
  </si>
  <si>
    <t xml:space="preserve">高</t>
  </si>
  <si>
    <t xml:space="preserve">毎日</t>
  </si>
  <si>
    <t xml:space="preserve">2026/5/1</t>
  </si>
  <si>
    <r>
      <rPr>
        <i val="true"/>
        <sz val="9"/>
        <color rgb="FF999999"/>
        <rFont val="Arial"/>
        <family val="0"/>
        <charset val="1"/>
      </rPr>
      <t xml:space="preserve">AI </t>
    </r>
    <r>
      <rPr>
        <i val="true"/>
        <sz val="9"/>
        <color rgb="FF999999"/>
        <rFont val="DejaVu Sans"/>
        <family val="2"/>
      </rPr>
      <t xml:space="preserve">アシスタント</t>
    </r>
  </si>
  <si>
    <t xml:space="preserve">📐 Figma Pro</t>
  </si>
  <si>
    <r>
      <rPr>
        <sz val="10"/>
        <color rgb="FF444444"/>
        <rFont val="Arial"/>
        <family val="0"/>
        <charset val="1"/>
      </rPr>
      <t xml:space="preserve">UI</t>
    </r>
    <r>
      <rPr>
        <sz val="10"/>
        <color rgb="FF444444"/>
        <rFont val="DejaVu Sans"/>
        <family val="2"/>
      </rPr>
      <t xml:space="preserve">デザイン・プロトタイプ</t>
    </r>
  </si>
  <si>
    <r>
      <rPr>
        <sz val="10"/>
        <color rgb="FF666666"/>
        <rFont val="DejaVu Sans"/>
        <family val="2"/>
      </rPr>
      <t xml:space="preserve">週</t>
    </r>
    <r>
      <rPr>
        <sz val="10"/>
        <color rgb="FF666666"/>
        <rFont val="Arial"/>
        <family val="0"/>
        <charset val="1"/>
      </rPr>
      <t xml:space="preserve">4</t>
    </r>
    <r>
      <rPr>
        <sz val="10"/>
        <color rgb="FF666666"/>
        <rFont val="DejaVu Sans"/>
        <family val="2"/>
      </rPr>
      <t xml:space="preserve">〜</t>
    </r>
    <r>
      <rPr>
        <sz val="10"/>
        <color rgb="FF666666"/>
        <rFont val="Arial"/>
        <family val="0"/>
        <charset val="1"/>
      </rPr>
      <t xml:space="preserve">5</t>
    </r>
    <r>
      <rPr>
        <sz val="10"/>
        <color rgb="FF666666"/>
        <rFont val="DejaVu Sans"/>
        <family val="2"/>
      </rPr>
      <t xml:space="preserve">回</t>
    </r>
  </si>
  <si>
    <t xml:space="preserve">2026/6/15</t>
  </si>
  <si>
    <t xml:space="preserve">デザインツール</t>
  </si>
  <si>
    <t xml:space="preserve">☁️ Notion Plus</t>
  </si>
  <si>
    <t xml:space="preserve">ドキュメント管理</t>
  </si>
  <si>
    <t xml:space="preserve">中</t>
  </si>
  <si>
    <r>
      <rPr>
        <sz val="10"/>
        <color rgb="FF666666"/>
        <rFont val="DejaVu Sans"/>
        <family val="2"/>
      </rPr>
      <t xml:space="preserve">週</t>
    </r>
    <r>
      <rPr>
        <sz val="10"/>
        <color rgb="FF666666"/>
        <rFont val="Arial"/>
        <family val="0"/>
        <charset val="1"/>
      </rPr>
      <t xml:space="preserve">2</t>
    </r>
    <r>
      <rPr>
        <sz val="10"/>
        <color rgb="FF666666"/>
        <rFont val="DejaVu Sans"/>
        <family val="2"/>
      </rPr>
      <t xml:space="preserve">〜</t>
    </r>
    <r>
      <rPr>
        <sz val="10"/>
        <color rgb="FF666666"/>
        <rFont val="Arial"/>
        <family val="0"/>
        <charset val="1"/>
      </rPr>
      <t xml:space="preserve">3</t>
    </r>
    <r>
      <rPr>
        <sz val="10"/>
        <color rgb="FF666666"/>
        <rFont val="DejaVu Sans"/>
        <family val="2"/>
      </rPr>
      <t xml:space="preserve">回</t>
    </r>
  </si>
  <si>
    <t xml:space="preserve">2026/5/20</t>
  </si>
  <si>
    <r>
      <rPr>
        <i val="true"/>
        <sz val="9"/>
        <color rgb="FF999999"/>
        <rFont val="DejaVu Sans"/>
        <family val="2"/>
      </rPr>
      <t xml:space="preserve">メモ・</t>
    </r>
    <r>
      <rPr>
        <i val="true"/>
        <sz val="9"/>
        <color rgb="FF999999"/>
        <rFont val="Arial"/>
        <family val="0"/>
        <charset val="1"/>
      </rPr>
      <t xml:space="preserve">Wiki</t>
    </r>
  </si>
  <si>
    <t xml:space="preserve">🗃️ Dropbox Plus</t>
  </si>
  <si>
    <t xml:space="preserve">ファイル共有・バックアップ</t>
  </si>
  <si>
    <t xml:space="preserve">低</t>
  </si>
  <si>
    <t xml:space="preserve">ほぼ未使用</t>
  </si>
  <si>
    <t xml:space="preserve">2026/7/1</t>
  </si>
  <si>
    <t xml:space="preserve">代替検討中</t>
  </si>
  <si>
    <t xml:space="preserve">🎵 Spotify</t>
  </si>
  <si>
    <r>
      <rPr>
        <sz val="10"/>
        <color rgb="FF444444"/>
        <rFont val="DejaVu Sans"/>
        <family val="2"/>
      </rPr>
      <t xml:space="preserve">作業</t>
    </r>
    <r>
      <rPr>
        <sz val="10"/>
        <color rgb="FF444444"/>
        <rFont val="Arial"/>
        <family val="0"/>
        <charset val="1"/>
      </rPr>
      <t xml:space="preserve">BGM</t>
    </r>
    <r>
      <rPr>
        <sz val="10"/>
        <color rgb="FF444444"/>
        <rFont val="DejaVu Sans"/>
        <family val="2"/>
      </rPr>
      <t xml:space="preserve">・リラックス</t>
    </r>
  </si>
  <si>
    <t xml:space="preserve">エンタメ</t>
  </si>
  <si>
    <t xml:space="preserve">2026/5/5</t>
  </si>
  <si>
    <t xml:space="preserve">🎬 Netflix</t>
  </si>
  <si>
    <t xml:space="preserve">映画・ドラマ視聴</t>
  </si>
  <si>
    <r>
      <rPr>
        <sz val="10"/>
        <color rgb="FF666666"/>
        <rFont val="DejaVu Sans"/>
        <family val="2"/>
      </rPr>
      <t xml:space="preserve">週</t>
    </r>
    <r>
      <rPr>
        <sz val="10"/>
        <color rgb="FF666666"/>
        <rFont val="Arial"/>
        <family val="0"/>
        <charset val="1"/>
      </rPr>
      <t xml:space="preserve">1</t>
    </r>
    <r>
      <rPr>
        <sz val="10"/>
        <color rgb="FF666666"/>
        <rFont val="DejaVu Sans"/>
        <family val="2"/>
      </rPr>
      <t xml:space="preserve">〜</t>
    </r>
    <r>
      <rPr>
        <sz val="10"/>
        <color rgb="FF666666"/>
        <rFont val="Arial"/>
        <family val="0"/>
        <charset val="1"/>
      </rPr>
      <t xml:space="preserve">2</t>
    </r>
    <r>
      <rPr>
        <sz val="10"/>
        <color rgb="FF666666"/>
        <rFont val="DejaVu Sans"/>
        <family val="2"/>
      </rPr>
      <t xml:space="preserve">回</t>
    </r>
  </si>
  <si>
    <t xml:space="preserve">2026/6/1</t>
  </si>
  <si>
    <t xml:space="preserve">📖 Udemy</t>
  </si>
  <si>
    <t xml:space="preserve">プログラミング学習</t>
  </si>
  <si>
    <t xml:space="preserve">学習</t>
  </si>
  <si>
    <t xml:space="preserve">月数回</t>
  </si>
  <si>
    <t xml:space="preserve">2026/8/10</t>
  </si>
  <si>
    <t xml:space="preserve">利用率低下中</t>
  </si>
  <si>
    <r>
      <rPr>
        <b val="true"/>
        <sz val="10"/>
        <color rgb="FF1A1A2E"/>
        <rFont val="DejaVu Sans"/>
        <family val="2"/>
      </rPr>
      <t xml:space="preserve">🏋️ ライザップ</t>
    </r>
    <r>
      <rPr>
        <b val="true"/>
        <sz val="10"/>
        <color rgb="FF1A1A2E"/>
        <rFont val="Arial"/>
        <family val="0"/>
        <charset val="1"/>
      </rPr>
      <t xml:space="preserve">App</t>
    </r>
  </si>
  <si>
    <t xml:space="preserve">自宅トレーニング</t>
  </si>
  <si>
    <t xml:space="preserve">健康</t>
  </si>
  <si>
    <r>
      <rPr>
        <sz val="10"/>
        <color rgb="FF666666"/>
        <rFont val="DejaVu Sans"/>
        <family val="2"/>
      </rPr>
      <t xml:space="preserve">週</t>
    </r>
    <r>
      <rPr>
        <sz val="10"/>
        <color rgb="FF666666"/>
        <rFont val="Arial"/>
        <family val="0"/>
        <charset val="1"/>
      </rPr>
      <t xml:space="preserve">3</t>
    </r>
    <r>
      <rPr>
        <sz val="10"/>
        <color rgb="FF666666"/>
        <rFont val="DejaVu Sans"/>
        <family val="2"/>
      </rPr>
      <t xml:space="preserve">〜</t>
    </r>
    <r>
      <rPr>
        <sz val="10"/>
        <color rgb="FF666666"/>
        <rFont val="Arial"/>
        <family val="0"/>
        <charset val="1"/>
      </rPr>
      <t xml:space="preserve">4</t>
    </r>
    <r>
      <rPr>
        <sz val="10"/>
        <color rgb="FF666666"/>
        <rFont val="DejaVu Sans"/>
        <family val="2"/>
      </rPr>
      <t xml:space="preserve">回</t>
    </r>
  </si>
  <si>
    <t xml:space="preserve">2026/5/25</t>
  </si>
  <si>
    <t xml:space="preserve">継続検討</t>
  </si>
  <si>
    <t xml:space="preserve">合計</t>
  </si>
  <si>
    <r>
      <rPr>
        <b val="true"/>
        <sz val="15"/>
        <color rgb="FFFFFFFF"/>
        <rFont val="Arial"/>
        <family val="0"/>
        <charset val="1"/>
      </rPr>
      <t xml:space="preserve">📊  SubLife </t>
    </r>
    <r>
      <rPr>
        <b val="true"/>
        <sz val="15"/>
        <color rgb="FFFFFFFF"/>
        <rFont val="DejaVu Sans"/>
        <family val="2"/>
      </rPr>
      <t xml:space="preserve">ダッシュボード — 投資対効果分析</t>
    </r>
  </si>
  <si>
    <t xml:space="preserve">今月の合計費用</t>
  </si>
  <si>
    <t xml:space="preserve">年間換算費用</t>
  </si>
  <si>
    <t xml:space="preserve">契約サービス数</t>
  </si>
  <si>
    <r>
      <rPr>
        <b val="true"/>
        <sz val="9"/>
        <color rgb="FFFFFFFF"/>
        <rFont val="Arial"/>
        <family val="0"/>
        <charset val="1"/>
      </rPr>
      <t xml:space="preserve">ROI</t>
    </r>
    <r>
      <rPr>
        <b val="true"/>
        <sz val="9"/>
        <color rgb="FFFFFFFF"/>
        <rFont val="DejaVu Sans"/>
        <family val="2"/>
      </rPr>
      <t xml:space="preserve">高（維持推奨）</t>
    </r>
  </si>
  <si>
    <r>
      <rPr>
        <b val="true"/>
        <sz val="9"/>
        <color rgb="FFFFFFFF"/>
        <rFont val="Arial"/>
        <family val="0"/>
        <charset val="1"/>
      </rPr>
      <t xml:space="preserve">ROI</t>
    </r>
    <r>
      <rPr>
        <b val="true"/>
        <sz val="9"/>
        <color rgb="FFFFFFFF"/>
        <rFont val="DejaVu Sans"/>
        <family val="2"/>
      </rPr>
      <t xml:space="preserve">低（解約候補）</t>
    </r>
  </si>
  <si>
    <r>
      <rPr>
        <b val="true"/>
        <sz val="9"/>
        <color rgb="FF1A1A2E"/>
        <rFont val="DejaVu Sans"/>
        <family val="2"/>
      </rPr>
      <t xml:space="preserve">節約余地（</t>
    </r>
    <r>
      <rPr>
        <b val="true"/>
        <sz val="9"/>
        <color rgb="FF1A1A2E"/>
        <rFont val="Arial"/>
        <family val="0"/>
        <charset val="1"/>
      </rPr>
      <t xml:space="preserve">ROI</t>
    </r>
    <r>
      <rPr>
        <b val="true"/>
        <sz val="9"/>
        <color rgb="FF1A1A2E"/>
        <rFont val="DejaVu Sans"/>
        <family val="2"/>
      </rPr>
      <t xml:space="preserve">低合計）</t>
    </r>
  </si>
  <si>
    <t xml:space="preserve">カテゴリ別 費用内訳</t>
  </si>
  <si>
    <t xml:space="preserve">月次合計</t>
  </si>
  <si>
    <t xml:space="preserve">年間合計</t>
  </si>
  <si>
    <r>
      <rPr>
        <b val="true"/>
        <sz val="9"/>
        <color rgb="FF1A1A2E"/>
        <rFont val="Arial"/>
        <family val="0"/>
        <charset val="1"/>
      </rPr>
      <t xml:space="preserve">ROI</t>
    </r>
    <r>
      <rPr>
        <b val="true"/>
        <sz val="9"/>
        <color rgb="FF1A1A2E"/>
        <rFont val="DejaVu Sans"/>
        <family val="2"/>
      </rPr>
      <t xml:space="preserve">高</t>
    </r>
  </si>
  <si>
    <r>
      <rPr>
        <b val="true"/>
        <sz val="9"/>
        <color rgb="FF1A1A2E"/>
        <rFont val="Arial"/>
        <family val="0"/>
        <charset val="1"/>
      </rPr>
      <t xml:space="preserve">ROI</t>
    </r>
    <r>
      <rPr>
        <b val="true"/>
        <sz val="9"/>
        <color rgb="FF1A1A2E"/>
        <rFont val="DejaVu Sans"/>
        <family val="2"/>
      </rPr>
      <t xml:space="preserve">中</t>
    </r>
  </si>
  <si>
    <r>
      <rPr>
        <b val="true"/>
        <sz val="9"/>
        <color rgb="FF1A1A2E"/>
        <rFont val="Arial"/>
        <family val="0"/>
        <charset val="1"/>
      </rPr>
      <t xml:space="preserve">ROI</t>
    </r>
    <r>
      <rPr>
        <b val="true"/>
        <sz val="9"/>
        <color rgb="FF1A1A2E"/>
        <rFont val="DejaVu Sans"/>
        <family val="2"/>
      </rPr>
      <t xml:space="preserve">低</t>
    </r>
  </si>
  <si>
    <t xml:space="preserve">構成比</t>
  </si>
  <si>
    <r>
      <rPr>
        <b val="true"/>
        <sz val="11"/>
        <color rgb="FFFFFFFF"/>
        <rFont val="DejaVu Sans"/>
        <family val="2"/>
      </rPr>
      <t xml:space="preserve">投資対効果（</t>
    </r>
    <r>
      <rPr>
        <b val="true"/>
        <sz val="11"/>
        <color rgb="FFFFFFFF"/>
        <rFont val="Arial"/>
        <family val="0"/>
        <charset val="1"/>
      </rPr>
      <t xml:space="preserve">ROI</t>
    </r>
    <r>
      <rPr>
        <b val="true"/>
        <sz val="11"/>
        <color rgb="FFFFFFFF"/>
        <rFont val="DejaVu Sans"/>
        <family val="2"/>
      </rPr>
      <t xml:space="preserve">）サマリー</t>
    </r>
  </si>
  <si>
    <r>
      <rPr>
        <b val="true"/>
        <sz val="9"/>
        <color rgb="FF1A1A2E"/>
        <rFont val="Arial"/>
        <family val="0"/>
        <charset val="1"/>
      </rPr>
      <t xml:space="preserve">ROI</t>
    </r>
    <r>
      <rPr>
        <b val="true"/>
        <sz val="9"/>
        <color rgb="FF1A1A2E"/>
        <rFont val="DejaVu Sans"/>
        <family val="2"/>
      </rPr>
      <t xml:space="preserve">評価</t>
    </r>
  </si>
  <si>
    <t xml:space="preserve">件数</t>
  </si>
  <si>
    <t xml:space="preserve">推奨アクション</t>
  </si>
  <si>
    <r>
      <rPr>
        <b val="true"/>
        <sz val="10"/>
        <color rgb="FF00B894"/>
        <rFont val="Arial"/>
        <family val="0"/>
        <charset val="1"/>
      </rPr>
      <t xml:space="preserve">ROI </t>
    </r>
    <r>
      <rPr>
        <b val="true"/>
        <sz val="10"/>
        <color rgb="FF00B894"/>
        <rFont val="DejaVu Sans"/>
        <family val="2"/>
      </rPr>
      <t xml:space="preserve">高</t>
    </r>
  </si>
  <si>
    <t xml:space="preserve">✅ 維持を推奨</t>
  </si>
  <si>
    <r>
      <rPr>
        <b val="true"/>
        <sz val="10"/>
        <color rgb="FFF59E0B"/>
        <rFont val="Arial"/>
        <family val="0"/>
        <charset val="1"/>
      </rPr>
      <t xml:space="preserve">ROI </t>
    </r>
    <r>
      <rPr>
        <b val="true"/>
        <sz val="10"/>
        <color rgb="FFF59E0B"/>
        <rFont val="DejaVu Sans"/>
        <family val="2"/>
      </rPr>
      <t xml:space="preserve">中</t>
    </r>
  </si>
  <si>
    <t xml:space="preserve">👀 利用状況を観察</t>
  </si>
  <si>
    <r>
      <rPr>
        <b val="true"/>
        <sz val="10"/>
        <color rgb="FFD63031"/>
        <rFont val="Arial"/>
        <family val="0"/>
        <charset val="1"/>
      </rPr>
      <t xml:space="preserve">ROI </t>
    </r>
    <r>
      <rPr>
        <b val="true"/>
        <sz val="10"/>
        <color rgb="FFD63031"/>
        <rFont val="DejaVu Sans"/>
        <family val="2"/>
      </rPr>
      <t xml:space="preserve">低</t>
    </r>
  </si>
  <si>
    <t xml:space="preserve">🚨 解約を検討</t>
  </si>
  <si>
    <r>
      <rPr>
        <b val="true"/>
        <sz val="15"/>
        <color rgb="FFFFFFFF"/>
        <rFont val="DejaVu Sans"/>
        <family val="2"/>
      </rPr>
      <t xml:space="preserve">🔍  月次レビューシート — </t>
    </r>
    <r>
      <rPr>
        <b val="true"/>
        <sz val="15"/>
        <color rgb="FFFFFFFF"/>
        <rFont val="Arial"/>
        <family val="0"/>
        <charset val="1"/>
      </rPr>
      <t xml:space="preserve">2026</t>
    </r>
    <r>
      <rPr>
        <b val="true"/>
        <sz val="15"/>
        <color rgb="FFFFFFFF"/>
        <rFont val="DejaVu Sans"/>
        <family val="2"/>
      </rPr>
      <t xml:space="preserve">年</t>
    </r>
    <r>
      <rPr>
        <b val="true"/>
        <sz val="15"/>
        <color rgb="FFFFFFFF"/>
        <rFont val="Arial"/>
        <family val="0"/>
        <charset val="1"/>
      </rPr>
      <t xml:space="preserve">4</t>
    </r>
    <r>
      <rPr>
        <b val="true"/>
        <sz val="15"/>
        <color rgb="FFFFFFFF"/>
        <rFont val="DejaVu Sans"/>
        <family val="2"/>
      </rPr>
      <t xml:space="preserve">月</t>
    </r>
  </si>
  <si>
    <t xml:space="preserve">毎月のサブスクを振り返り、「今月も使ったか？」「解約すべきか？」を判断しましょう</t>
  </si>
  <si>
    <t xml:space="preserve">ROI</t>
  </si>
  <si>
    <t xml:space="preserve">今月の使用</t>
  </si>
  <si>
    <t xml:space="preserve">レビュー判定</t>
  </si>
  <si>
    <t xml:space="preserve">アクション</t>
  </si>
  <si>
    <t xml:space="preserve">コメント</t>
  </si>
  <si>
    <t xml:space="preserve">✅ 継続</t>
  </si>
  <si>
    <t xml:space="preserve">維持を推奨</t>
  </si>
  <si>
    <r>
      <rPr>
        <sz val="9"/>
        <color rgb="FF555555"/>
        <rFont val="Arial"/>
        <family val="0"/>
        <charset val="1"/>
      </rPr>
      <t xml:space="preserve">UI</t>
    </r>
    <r>
      <rPr>
        <sz val="9"/>
        <color rgb="FF555555"/>
        <rFont val="DejaVu Sans"/>
        <family val="2"/>
      </rPr>
      <t xml:space="preserve">デザイン・プロトタイプ</t>
    </r>
  </si>
  <si>
    <r>
      <rPr>
        <sz val="10"/>
        <color rgb="FF444444"/>
        <rFont val="DejaVu Sans"/>
        <family val="2"/>
      </rPr>
      <t xml:space="preserve">週</t>
    </r>
    <r>
      <rPr>
        <sz val="10"/>
        <color rgb="FF444444"/>
        <rFont val="Arial"/>
        <family val="0"/>
        <charset val="1"/>
      </rPr>
      <t xml:space="preserve">4</t>
    </r>
    <r>
      <rPr>
        <sz val="10"/>
        <color rgb="FF444444"/>
        <rFont val="DejaVu Sans"/>
        <family val="2"/>
      </rPr>
      <t xml:space="preserve">〜</t>
    </r>
    <r>
      <rPr>
        <sz val="10"/>
        <color rgb="FF444444"/>
        <rFont val="Arial"/>
        <family val="0"/>
        <charset val="1"/>
      </rPr>
      <t xml:space="preserve">5</t>
    </r>
    <r>
      <rPr>
        <sz val="10"/>
        <color rgb="FF444444"/>
        <rFont val="DejaVu Sans"/>
        <family val="2"/>
      </rPr>
      <t xml:space="preserve">回</t>
    </r>
  </si>
  <si>
    <r>
      <rPr>
        <sz val="10"/>
        <color rgb="FF444444"/>
        <rFont val="DejaVu Sans"/>
        <family val="2"/>
      </rPr>
      <t xml:space="preserve">週</t>
    </r>
    <r>
      <rPr>
        <sz val="10"/>
        <color rgb="FF444444"/>
        <rFont val="Arial"/>
        <family val="0"/>
        <charset val="1"/>
      </rPr>
      <t xml:space="preserve">2</t>
    </r>
    <r>
      <rPr>
        <sz val="10"/>
        <color rgb="FF444444"/>
        <rFont val="DejaVu Sans"/>
        <family val="2"/>
      </rPr>
      <t xml:space="preserve">〜</t>
    </r>
    <r>
      <rPr>
        <sz val="10"/>
        <color rgb="FF444444"/>
        <rFont val="Arial"/>
        <family val="0"/>
        <charset val="1"/>
      </rPr>
      <t xml:space="preserve">3</t>
    </r>
    <r>
      <rPr>
        <sz val="10"/>
        <color rgb="FF444444"/>
        <rFont val="DejaVu Sans"/>
        <family val="2"/>
      </rPr>
      <t xml:space="preserve">回</t>
    </r>
  </si>
  <si>
    <t xml:space="preserve">👀 様子見</t>
  </si>
  <si>
    <t xml:space="preserve">利用状況を確認</t>
  </si>
  <si>
    <t xml:space="preserve">🚨 解約予定</t>
  </si>
  <si>
    <t xml:space="preserve">解約を検討</t>
  </si>
  <si>
    <r>
      <rPr>
        <sz val="9"/>
        <color rgb="FF555555"/>
        <rFont val="DejaVu Sans"/>
        <family val="2"/>
      </rPr>
      <t xml:space="preserve">作業</t>
    </r>
    <r>
      <rPr>
        <sz val="9"/>
        <color rgb="FF555555"/>
        <rFont val="Arial"/>
        <family val="0"/>
        <charset val="1"/>
      </rPr>
      <t xml:space="preserve">BGM</t>
    </r>
    <r>
      <rPr>
        <sz val="9"/>
        <color rgb="FF555555"/>
        <rFont val="DejaVu Sans"/>
        <family val="2"/>
      </rPr>
      <t xml:space="preserve">・リラックス</t>
    </r>
  </si>
  <si>
    <r>
      <rPr>
        <sz val="10"/>
        <color rgb="FF444444"/>
        <rFont val="DejaVu Sans"/>
        <family val="2"/>
      </rPr>
      <t xml:space="preserve">週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DejaVu Sans"/>
        <family val="2"/>
      </rPr>
      <t xml:space="preserve">〜</t>
    </r>
    <r>
      <rPr>
        <sz val="10"/>
        <color rgb="FF444444"/>
        <rFont val="Arial"/>
        <family val="0"/>
        <charset val="1"/>
      </rPr>
      <t xml:space="preserve">2</t>
    </r>
    <r>
      <rPr>
        <sz val="10"/>
        <color rgb="FF444444"/>
        <rFont val="DejaVu Sans"/>
        <family val="2"/>
      </rPr>
      <t xml:space="preserve">回</t>
    </r>
  </si>
  <si>
    <r>
      <rPr>
        <sz val="10"/>
        <color rgb="FF444444"/>
        <rFont val="DejaVu Sans"/>
        <family val="2"/>
      </rPr>
      <t xml:space="preserve">週</t>
    </r>
    <r>
      <rPr>
        <sz val="10"/>
        <color rgb="FF444444"/>
        <rFont val="Arial"/>
        <family val="0"/>
        <charset val="1"/>
      </rPr>
      <t xml:space="preserve">3</t>
    </r>
    <r>
      <rPr>
        <sz val="10"/>
        <color rgb="FF444444"/>
        <rFont val="DejaVu Sans"/>
        <family val="2"/>
      </rPr>
      <t xml:space="preserve">〜</t>
    </r>
    <r>
      <rPr>
        <sz val="10"/>
        <color rgb="FF444444"/>
        <rFont val="Arial"/>
        <family val="0"/>
        <charset val="1"/>
      </rPr>
      <t xml:space="preserve">4</t>
    </r>
    <r>
      <rPr>
        <sz val="10"/>
        <color rgb="FF444444"/>
        <rFont val="DejaVu Sans"/>
        <family val="2"/>
      </rPr>
      <t xml:space="preserve">回</t>
    </r>
  </si>
  <si>
    <r>
      <rPr>
        <b val="true"/>
        <sz val="10"/>
        <color rgb="FFFFFFFF"/>
        <rFont val="DejaVu Sans"/>
        <family val="2"/>
      </rPr>
      <t xml:space="preserve">月次合計</t>
    </r>
    <r>
      <rPr>
        <b val="true"/>
        <sz val="10"/>
        <color rgb="FFFFFFFF"/>
        <rFont val="Arial"/>
        <family val="0"/>
        <charset val="1"/>
      </rPr>
      <t xml:space="preserve">: ¥12,480</t>
    </r>
    <r>
      <rPr>
        <b val="true"/>
        <sz val="10"/>
        <color rgb="FFFFFFFF"/>
        <rFont val="DejaVu Sans"/>
        <family val="2"/>
      </rPr>
      <t xml:space="preserve">　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　年間換算</t>
    </r>
    <r>
      <rPr>
        <b val="true"/>
        <sz val="10"/>
        <color rgb="FFFFFFFF"/>
        <rFont val="Arial"/>
        <family val="0"/>
        <charset val="1"/>
      </rPr>
      <t xml:space="preserve">: ¥149,760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</si>
</sst>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¥#,##0"/>
    <numFmt numFmtId="166" formatCode="0\件"/>
    <numFmt numFmtId="167" formatCode="0.0%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1A1A2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444444"/>
      <name val="DejaVu Sans"/>
      <family val="2"/>
    </font>
    <font>
      <b val="true"/>
      <sz val="10"/>
      <color rgb="FF3B6CF6"/>
      <name val="DejaVu Sans"/>
      <family val="2"/>
    </font>
    <font>
      <b val="true"/>
      <sz val="10"/>
      <color rgb="FFD63031"/>
      <name val="DejaVu Sans"/>
      <family val="2"/>
    </font>
    <font>
      <sz val="10"/>
      <color rgb="FF000000"/>
      <name val="Arial"/>
      <family val="0"/>
      <charset val="1"/>
    </font>
    <font>
      <sz val="10"/>
      <color rgb="FF666666"/>
      <name val="DejaVu Sans"/>
      <family val="2"/>
    </font>
    <font>
      <sz val="10"/>
      <color rgb="FF666666"/>
      <name val="Arial"/>
      <family val="0"/>
      <charset val="1"/>
    </font>
    <font>
      <i val="true"/>
      <sz val="9"/>
      <color rgb="FF999999"/>
      <name val="Arial"/>
      <family val="0"/>
      <charset val="1"/>
    </font>
    <font>
      <i val="true"/>
      <sz val="9"/>
      <color rgb="FF999999"/>
      <name val="DejaVu Sans"/>
      <family val="2"/>
    </font>
    <font>
      <sz val="10"/>
      <color rgb="FF444444"/>
      <name val="Arial"/>
      <family val="0"/>
      <charset val="1"/>
    </font>
    <font>
      <b val="true"/>
      <sz val="10"/>
      <color rgb="FFE67E22"/>
      <name val="DejaVu Sans"/>
      <family val="2"/>
    </font>
    <font>
      <b val="true"/>
      <sz val="10"/>
      <color rgb="FF00B894"/>
      <name val="DejaVu Sans"/>
      <family val="2"/>
    </font>
    <font>
      <b val="true"/>
      <sz val="10"/>
      <color rgb="FFEA580C"/>
      <name val="DejaVu Sans"/>
      <family val="2"/>
    </font>
    <font>
      <b val="true"/>
      <sz val="10"/>
      <color rgb="FF9333EA"/>
      <name val="DejaVu Sans"/>
      <family val="2"/>
    </font>
    <font>
      <b val="true"/>
      <sz val="10"/>
      <color rgb="FF1A1A2E"/>
      <name val="DejaVu Sans"/>
      <family val="2"/>
    </font>
    <font>
      <b val="true"/>
      <sz val="10"/>
      <color rgb="FF059669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DejaVu Sans"/>
      <family val="2"/>
    </font>
    <font>
      <b val="true"/>
      <sz val="9"/>
      <color rgb="FF1A1A2E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20"/>
      <color rgb="FF1A1A2E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3B6CF6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0"/>
      <color rgb="FF9333EA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00B894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F59E0B"/>
      <name val="DejaVu Sans"/>
      <family val="2"/>
    </font>
    <font>
      <b val="true"/>
      <sz val="10"/>
      <color rgb="FFD63031"/>
      <name val="Arial"/>
      <family val="0"/>
      <charset val="1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i val="true"/>
      <sz val="9"/>
      <color rgb="FF888888"/>
      <name val="DejaVu Sans"/>
      <family val="2"/>
    </font>
    <font>
      <b val="true"/>
      <sz val="10"/>
      <color rgb="FFEE5A24"/>
      <name val="Arial"/>
      <family val="0"/>
      <charset val="1"/>
    </font>
    <font>
      <sz val="9"/>
      <color rgb="FF555555"/>
      <name val="DejaVu Sans"/>
      <family val="2"/>
    </font>
    <font>
      <sz val="9"/>
      <color rgb="FFD63031"/>
      <name val="DejaVu Sans"/>
      <family val="2"/>
    </font>
    <font>
      <sz val="9"/>
      <color rgb="FF555555"/>
      <name val="Arial"/>
      <family val="0"/>
      <charset val="1"/>
    </font>
    <font>
      <sz val="9"/>
      <color rgb="FFE67E22"/>
      <name val="DejaVu Sans"/>
      <family val="2"/>
    </font>
    <font>
      <sz val="9"/>
      <color rgb="FF00B894"/>
      <name val="DejaVu Sans"/>
      <family val="2"/>
    </font>
    <font>
      <b val="true"/>
      <sz val="10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EE5A24"/>
        <bgColor rgb="FFEA580C"/>
      </patternFill>
    </fill>
    <fill>
      <patternFill patternType="solid">
        <fgColor rgb="FFFF6B6B"/>
        <bgColor rgb="FFEE5A24"/>
      </patternFill>
    </fill>
    <fill>
      <patternFill patternType="solid">
        <fgColor rgb="FFFFFFFF"/>
        <bgColor rgb="FFFAFAFA"/>
      </patternFill>
    </fill>
    <fill>
      <patternFill patternType="solid">
        <fgColor rgb="FFEEF2FF"/>
        <bgColor rgb="FFF5F5F5"/>
      </patternFill>
    </fill>
    <fill>
      <patternFill patternType="solid">
        <fgColor rgb="FFFFE0E0"/>
        <bgColor rgb="FFE5E7EB"/>
      </patternFill>
    </fill>
    <fill>
      <patternFill patternType="solid">
        <fgColor rgb="FFFAFAFA"/>
        <bgColor rgb="FFF9F9F9"/>
      </patternFill>
    </fill>
    <fill>
      <patternFill patternType="solid">
        <fgColor rgb="FFFFF3CD"/>
        <bgColor rgb="FFFFF7ED"/>
      </patternFill>
    </fill>
    <fill>
      <patternFill patternType="solid">
        <fgColor rgb="FFE0F7E9"/>
        <bgColor rgb="FFECFDF5"/>
      </patternFill>
    </fill>
    <fill>
      <patternFill patternType="solid">
        <fgColor rgb="FFFFF7ED"/>
        <bgColor rgb="FFFFF8F5"/>
      </patternFill>
    </fill>
    <fill>
      <patternFill patternType="solid">
        <fgColor rgb="FFFDF4FF"/>
        <bgColor rgb="FFFFF8F5"/>
      </patternFill>
    </fill>
    <fill>
      <patternFill patternType="solid">
        <fgColor rgb="FFECFDF5"/>
        <bgColor rgb="FFF9F9F9"/>
      </patternFill>
    </fill>
    <fill>
      <patternFill patternType="solid">
        <fgColor rgb="FF3B6CF6"/>
        <bgColor rgb="FF4F81BD"/>
      </patternFill>
    </fill>
    <fill>
      <patternFill patternType="solid">
        <fgColor rgb="FF1A1A2E"/>
        <bgColor rgb="FF003300"/>
      </patternFill>
    </fill>
    <fill>
      <patternFill patternType="solid">
        <fgColor rgb="FF00B894"/>
        <bgColor rgb="FF059669"/>
      </patternFill>
    </fill>
    <fill>
      <patternFill patternType="solid">
        <fgColor rgb="FFD63031"/>
        <bgColor rgb="FFEA580C"/>
      </patternFill>
    </fill>
    <fill>
      <patternFill patternType="solid">
        <fgColor rgb="FFF59E0B"/>
        <bgColor rgb="FFE67E22"/>
      </patternFill>
    </fill>
    <fill>
      <patternFill patternType="solid">
        <fgColor rgb="FFF5F5F5"/>
        <bgColor rgb="FFF9F9F9"/>
      </patternFill>
    </fill>
    <fill>
      <patternFill patternType="solid">
        <fgColor rgb="FFFFF8F5"/>
        <bgColor rgb="FFFFF7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F5"/>
      <rgbColor rgb="FFFF00FF"/>
      <rgbColor rgb="FF00FFFF"/>
      <rgbColor rgb="FF800000"/>
      <rgbColor rgb="FF008000"/>
      <rgbColor rgb="FF000080"/>
      <rgbColor rgb="FFE67E22"/>
      <rgbColor rgb="FF800080"/>
      <rgbColor rgb="FF059669"/>
      <rgbColor rgb="FFEEF2FF"/>
      <rgbColor rgb="FF878787"/>
      <rgbColor rgb="FF888888"/>
      <rgbColor rgb="FF9333EA"/>
      <rgbColor rgb="FFFFF3CD"/>
      <rgbColor rgb="FFE0F7E9"/>
      <rgbColor rgb="FF660066"/>
      <rgbColor rgb="FFFF6B6B"/>
      <rgbColor rgb="FF0066CC"/>
      <rgbColor rgb="FFD9D9D9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ECFDF5"/>
      <rgbColor rgb="FFE5E7EB"/>
      <rgbColor rgb="FFFFF7ED"/>
      <rgbColor rgb="FFF5F5F5"/>
      <rgbColor rgb="FFFDF4FF"/>
      <rgbColor rgb="FFF9F9F9"/>
      <rgbColor rgb="FFFFE0E0"/>
      <rgbColor rgb="FF3B6CF6"/>
      <rgbColor rgb="FF00B894"/>
      <rgbColor rgb="FF99CC00"/>
      <rgbColor rgb="FFFFCC00"/>
      <rgbColor rgb="FFF59E0B"/>
      <rgbColor rgb="FFEA580C"/>
      <rgbColor rgb="FF666666"/>
      <rgbColor rgb="FF999999"/>
      <rgbColor rgb="FF003366"/>
      <rgbColor rgb="FF4F81BD"/>
      <rgbColor rgb="FF003300"/>
      <rgbColor rgb="FF1A1A2E"/>
      <rgbColor rgb="FFD63031"/>
      <rgbColor rgb="FFEE5A24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カテゴリ別 月次費用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ダッシュボード!$B$12:$B$15</c:f>
              <c:strCache>
                <c:ptCount val="4"/>
                <c:pt idx="0">
                  <c:v>仕事</c:v>
                </c:pt>
                <c:pt idx="1">
                  <c:v>エンタメ</c:v>
                </c:pt>
                <c:pt idx="2">
                  <c:v>学習</c:v>
                </c:pt>
                <c:pt idx="3">
                  <c:v>健康</c:v>
                </c:pt>
              </c:strCache>
            </c:strRef>
          </c:cat>
          <c:val>
            <c:numRef>
              <c:f>ダッシュボード!$C$12:$C$15</c:f>
              <c:numCache>
                <c:formatCode>\¥#,##0</c:formatCode>
                <c:ptCount val="4"/>
                <c:pt idx="0">
                  <c:v>7010</c:v>
                </c:pt>
                <c:pt idx="1">
                  <c:v>2470</c:v>
                </c:pt>
                <c:pt idx="2">
                  <c:v>2000</c:v>
                </c:pt>
                <c:pt idx="3">
                  <c:v>1000</c:v>
                </c:pt>
              </c:numCache>
            </c:numRef>
          </c:val>
        </c:ser>
        <c:gapWidth val="150"/>
        <c:overlap val="0"/>
        <c:axId val="53653003"/>
        <c:axId val="92561591"/>
      </c:barChart>
      <c:catAx>
        <c:axId val="53653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カテゴリ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561591"/>
        <c:crosses val="autoZero"/>
        <c:auto val="1"/>
        <c:lblAlgn val="ctr"/>
        <c:lblOffset val="100"/>
        <c:noMultiLvlLbl val="0"/>
      </c:catAx>
      <c:valAx>
        <c:axId val="92561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費用（円）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¥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6530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547560</xdr:colOff>
      <xdr:row>16</xdr:row>
      <xdr:rowOff>27720</xdr:rowOff>
    </xdr:to>
    <xdr:graphicFrame>
      <xdr:nvGraphicFramePr>
        <xdr:cNvPr id="1" name="Chart 1"/>
        <xdr:cNvGraphicFramePr/>
      </xdr:nvGraphicFramePr>
      <xdr:xfrm>
        <a:off x="8282160" y="7239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3"/>
  </cols>
  <sheetData>
    <row r="1" customFormat="false" ht="13.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3.5" hidden="false" customHeight="true" outlineLevel="0" collapsed="false"/>
    <row r="4" customFormat="false" ht="31.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customFormat="false" ht="25.5" hidden="false" customHeight="true" outlineLevel="0" collapsed="false">
      <c r="B5" s="3" t="s">
        <v>10</v>
      </c>
      <c r="C5" s="4" t="n">
        <v>3000</v>
      </c>
      <c r="D5" s="5" t="s">
        <v>11</v>
      </c>
      <c r="E5" s="6" t="s">
        <v>12</v>
      </c>
      <c r="F5" s="7" t="s">
        <v>13</v>
      </c>
      <c r="G5" s="8" t="n">
        <f aca="false">C5*12</f>
        <v>36000</v>
      </c>
      <c r="H5" s="9" t="s">
        <v>14</v>
      </c>
      <c r="I5" s="10" t="s">
        <v>15</v>
      </c>
      <c r="J5" s="11" t="s">
        <v>16</v>
      </c>
    </row>
    <row r="6" customFormat="false" ht="25.5" hidden="false" customHeight="true" outlineLevel="0" collapsed="false">
      <c r="B6" s="12" t="s">
        <v>17</v>
      </c>
      <c r="C6" s="13" t="n">
        <v>2000</v>
      </c>
      <c r="D6" s="14" t="s">
        <v>18</v>
      </c>
      <c r="E6" s="6" t="s">
        <v>12</v>
      </c>
      <c r="F6" s="7" t="s">
        <v>13</v>
      </c>
      <c r="G6" s="15" t="n">
        <f aca="false">C6*12</f>
        <v>24000</v>
      </c>
      <c r="H6" s="16" t="s">
        <v>19</v>
      </c>
      <c r="I6" s="17" t="s">
        <v>20</v>
      </c>
      <c r="J6" s="18" t="s">
        <v>21</v>
      </c>
    </row>
    <row r="7" customFormat="false" ht="25.5" hidden="false" customHeight="true" outlineLevel="0" collapsed="false">
      <c r="B7" s="3" t="s">
        <v>22</v>
      </c>
      <c r="C7" s="4" t="n">
        <v>1280</v>
      </c>
      <c r="D7" s="5" t="s">
        <v>23</v>
      </c>
      <c r="E7" s="6" t="s">
        <v>12</v>
      </c>
      <c r="F7" s="19" t="s">
        <v>24</v>
      </c>
      <c r="G7" s="8" t="n">
        <f aca="false">C7*12</f>
        <v>15360</v>
      </c>
      <c r="H7" s="9" t="s">
        <v>25</v>
      </c>
      <c r="I7" s="10" t="s">
        <v>26</v>
      </c>
      <c r="J7" s="20" t="s">
        <v>27</v>
      </c>
    </row>
    <row r="8" customFormat="false" ht="25.5" hidden="false" customHeight="true" outlineLevel="0" collapsed="false">
      <c r="B8" s="12" t="s">
        <v>28</v>
      </c>
      <c r="C8" s="13" t="n">
        <v>730</v>
      </c>
      <c r="D8" s="21" t="s">
        <v>29</v>
      </c>
      <c r="E8" s="6" t="s">
        <v>12</v>
      </c>
      <c r="F8" s="22" t="s">
        <v>30</v>
      </c>
      <c r="G8" s="15" t="n">
        <f aca="false">C8*12</f>
        <v>8760</v>
      </c>
      <c r="H8" s="16" t="s">
        <v>31</v>
      </c>
      <c r="I8" s="17" t="s">
        <v>32</v>
      </c>
      <c r="J8" s="18" t="s">
        <v>33</v>
      </c>
    </row>
    <row r="9" customFormat="false" ht="25.5" hidden="false" customHeight="true" outlineLevel="0" collapsed="false">
      <c r="B9" s="3" t="s">
        <v>34</v>
      </c>
      <c r="C9" s="4" t="n">
        <v>980</v>
      </c>
      <c r="D9" s="5" t="s">
        <v>35</v>
      </c>
      <c r="E9" s="23" t="s">
        <v>36</v>
      </c>
      <c r="F9" s="7" t="s">
        <v>13</v>
      </c>
      <c r="G9" s="8" t="n">
        <f aca="false">C9*12</f>
        <v>11760</v>
      </c>
      <c r="H9" s="9" t="s">
        <v>14</v>
      </c>
      <c r="I9" s="10" t="s">
        <v>37</v>
      </c>
      <c r="J9" s="11"/>
    </row>
    <row r="10" customFormat="false" ht="25.5" hidden="false" customHeight="true" outlineLevel="0" collapsed="false">
      <c r="B10" s="12" t="s">
        <v>38</v>
      </c>
      <c r="C10" s="13" t="n">
        <v>1490</v>
      </c>
      <c r="D10" s="21" t="s">
        <v>39</v>
      </c>
      <c r="E10" s="23" t="s">
        <v>36</v>
      </c>
      <c r="F10" s="19" t="s">
        <v>24</v>
      </c>
      <c r="G10" s="15" t="n">
        <f aca="false">C10*12</f>
        <v>17880</v>
      </c>
      <c r="H10" s="16" t="s">
        <v>40</v>
      </c>
      <c r="I10" s="17" t="s">
        <v>41</v>
      </c>
      <c r="J10" s="18"/>
    </row>
    <row r="11" customFormat="false" ht="25.5" hidden="false" customHeight="true" outlineLevel="0" collapsed="false">
      <c r="B11" s="3" t="s">
        <v>42</v>
      </c>
      <c r="C11" s="4" t="n">
        <v>2000</v>
      </c>
      <c r="D11" s="5" t="s">
        <v>43</v>
      </c>
      <c r="E11" s="24" t="s">
        <v>44</v>
      </c>
      <c r="F11" s="22" t="s">
        <v>30</v>
      </c>
      <c r="G11" s="8" t="n">
        <f aca="false">C11*12</f>
        <v>24000</v>
      </c>
      <c r="H11" s="9" t="s">
        <v>45</v>
      </c>
      <c r="I11" s="10" t="s">
        <v>46</v>
      </c>
      <c r="J11" s="20" t="s">
        <v>47</v>
      </c>
    </row>
    <row r="12" customFormat="false" ht="25.5" hidden="false" customHeight="true" outlineLevel="0" collapsed="false">
      <c r="B12" s="25" t="s">
        <v>48</v>
      </c>
      <c r="C12" s="13" t="n">
        <v>1000</v>
      </c>
      <c r="D12" s="21" t="s">
        <v>49</v>
      </c>
      <c r="E12" s="26" t="s">
        <v>50</v>
      </c>
      <c r="F12" s="19" t="s">
        <v>24</v>
      </c>
      <c r="G12" s="15" t="n">
        <f aca="false">C12*12</f>
        <v>12000</v>
      </c>
      <c r="H12" s="16" t="s">
        <v>51</v>
      </c>
      <c r="I12" s="17" t="s">
        <v>52</v>
      </c>
      <c r="J12" s="18" t="s">
        <v>53</v>
      </c>
    </row>
    <row r="13" customFormat="false" ht="27.75" hidden="false" customHeight="true" outlineLevel="0" collapsed="false">
      <c r="B13" s="27" t="s">
        <v>54</v>
      </c>
      <c r="C13" s="28" t="n">
        <f aca="false">SUM(C5:C12)</f>
        <v>12480</v>
      </c>
      <c r="D13" s="29"/>
      <c r="E13" s="29"/>
      <c r="F13" s="29"/>
      <c r="G13" s="28" t="n">
        <f aca="false">SUM(G5:G12)</f>
        <v>149760</v>
      </c>
      <c r="H13" s="29"/>
      <c r="I13" s="29"/>
      <c r="J13" s="29"/>
    </row>
  </sheetData>
  <mergeCells count="1">
    <mergeCell ref="B2:J2"/>
  </mergeCells>
  <dataValidations count="2">
    <dataValidation allowBlank="false" errorStyle="stop" operator="between" showDropDown="false" showErrorMessage="false" showInputMessage="false" sqref="F5:F12" type="list">
      <formula1>"高,中,低"</formula1>
      <formula2>0</formula2>
    </dataValidation>
    <dataValidation allowBlank="false" errorStyle="stop" operator="between" showDropDown="false" showErrorMessage="false" showInputMessage="false" sqref="E5:E12" type="list">
      <formula1>"仕事,エンタメ,学習,健康"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0"/>
    <col collapsed="false" customWidth="true" hidden="false" outlineLevel="0" max="8" min="3" style="0" width="16"/>
    <col collapsed="false" customWidth="true" hidden="false" outlineLevel="0" max="9" min="9" style="0" width="3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30" t="s">
        <v>55</v>
      </c>
      <c r="C2" s="30"/>
      <c r="D2" s="30"/>
      <c r="E2" s="30"/>
      <c r="F2" s="30"/>
      <c r="G2" s="30"/>
      <c r="H2" s="30"/>
    </row>
    <row r="3" customFormat="false" ht="9.75" hidden="false" customHeight="true" outlineLevel="0" collapsed="false"/>
    <row r="4" customFormat="false" ht="18" hidden="false" customHeight="true" outlineLevel="0" collapsed="false">
      <c r="B4" s="31" t="s">
        <v>56</v>
      </c>
      <c r="C4" s="32" t="s">
        <v>57</v>
      </c>
      <c r="D4" s="33" t="s">
        <v>58</v>
      </c>
      <c r="E4" s="34" t="s">
        <v>59</v>
      </c>
      <c r="F4" s="35" t="s">
        <v>60</v>
      </c>
      <c r="G4" s="36" t="s">
        <v>61</v>
      </c>
    </row>
    <row r="5" customFormat="false" ht="36" hidden="false" customHeight="true" outlineLevel="0" collapsed="false">
      <c r="B5" s="37" t="n">
        <f aca="false">サブスク一覧!C13</f>
        <v>12480</v>
      </c>
      <c r="C5" s="38" t="n">
        <f aca="false">サブスク一覧!G13</f>
        <v>149760</v>
      </c>
      <c r="D5" s="39" t="n">
        <f aca="false">COUNTA(サブスク一覧!B5:B12)</f>
        <v>8</v>
      </c>
      <c r="E5" s="40" t="n">
        <f aca="false">COUNTIF(サブスク一覧!F5:F12,"高")</f>
        <v>3</v>
      </c>
      <c r="F5" s="41" t="n">
        <f aca="false">COUNTIF(サブスク一覧!F5:F12,"低")</f>
        <v>2</v>
      </c>
      <c r="G5" s="42" t="n">
        <f aca="false">SUMIF(サブスク一覧!F5:F12,"低",サブスク一覧!C5:C12)</f>
        <v>2730</v>
      </c>
    </row>
    <row r="6" customFormat="false" ht="21.75" hidden="false" customHeight="true" outlineLevel="0" collapsed="false">
      <c r="B6" s="29"/>
      <c r="C6" s="43"/>
      <c r="D6" s="44"/>
      <c r="E6" s="45"/>
      <c r="F6" s="46"/>
      <c r="G6" s="47"/>
    </row>
    <row r="7" customFormat="false" ht="21.75" hidden="false" customHeight="true" outlineLevel="0" collapsed="false">
      <c r="B7" s="29"/>
      <c r="C7" s="43"/>
      <c r="D7" s="44"/>
      <c r="E7" s="45"/>
      <c r="F7" s="46"/>
      <c r="G7" s="47"/>
    </row>
    <row r="8" customFormat="false" ht="13.5" hidden="false" customHeight="true" outlineLevel="0" collapsed="false"/>
    <row r="9" customFormat="false" ht="12" hidden="false" customHeight="true" outlineLevel="0" collapsed="false"/>
    <row r="10" customFormat="false" ht="25.5" hidden="false" customHeight="true" outlineLevel="0" collapsed="false">
      <c r="B10" s="48" t="s">
        <v>62</v>
      </c>
      <c r="C10" s="48"/>
      <c r="D10" s="48"/>
      <c r="E10" s="48"/>
      <c r="F10" s="48"/>
      <c r="G10" s="48"/>
      <c r="H10" s="48"/>
    </row>
    <row r="11" customFormat="false" ht="21.75" hidden="false" customHeight="true" outlineLevel="0" collapsed="false">
      <c r="B11" s="49" t="s">
        <v>4</v>
      </c>
      <c r="C11" s="49" t="s">
        <v>63</v>
      </c>
      <c r="D11" s="49" t="s">
        <v>64</v>
      </c>
      <c r="E11" s="50" t="s">
        <v>65</v>
      </c>
      <c r="F11" s="50" t="s">
        <v>66</v>
      </c>
      <c r="G11" s="50" t="s">
        <v>67</v>
      </c>
      <c r="H11" s="49" t="s">
        <v>68</v>
      </c>
    </row>
    <row r="12" customFormat="false" ht="24" hidden="false" customHeight="true" outlineLevel="0" collapsed="false">
      <c r="B12" s="6" t="s">
        <v>12</v>
      </c>
      <c r="C12" s="51" t="n">
        <f aca="false">SUMIF(サブスク一覧!E5:E12,"仕事",サブスク一覧!C5:C12)</f>
        <v>7010</v>
      </c>
      <c r="D12" s="52" t="n">
        <f aca="false">C12*12</f>
        <v>84120</v>
      </c>
      <c r="E12" s="53" t="n">
        <f aca="false">COUNTIFS(サブスク一覧!E5:E12,"仕事",サブスク一覧!F5:F12,"高")</f>
        <v>2</v>
      </c>
      <c r="F12" s="53" t="n">
        <f aca="false">COUNTIFS(サブスク一覧!E5:E12,"仕事",サブスク一覧!F5:F12,"中")</f>
        <v>1</v>
      </c>
      <c r="G12" s="53" t="n">
        <f aca="false">COUNTIFS(サブスク一覧!E5:E12,"仕事",サブスク一覧!F5:F12,"低")</f>
        <v>1</v>
      </c>
      <c r="H12" s="54" t="n">
        <f aca="false">IFERROR(C12/サブスク一覧!C13,0)</f>
        <v>0.561698717948718</v>
      </c>
    </row>
    <row r="13" customFormat="false" ht="24" hidden="false" customHeight="true" outlineLevel="0" collapsed="false">
      <c r="B13" s="23" t="s">
        <v>36</v>
      </c>
      <c r="C13" s="55" t="n">
        <f aca="false">SUMIF(サブスク一覧!E5:E12,"エンタメ",サブスク一覧!C5:C12)</f>
        <v>2470</v>
      </c>
      <c r="D13" s="56" t="n">
        <f aca="false">C13*12</f>
        <v>29640</v>
      </c>
      <c r="E13" s="57" t="n">
        <f aca="false">COUNTIFS(サブスク一覧!E5:E12,"エンタメ",サブスク一覧!F5:F12,"高")</f>
        <v>1</v>
      </c>
      <c r="F13" s="57" t="n">
        <f aca="false">COUNTIFS(サブスク一覧!E5:E12,"エンタメ",サブスク一覧!F5:F12,"中")</f>
        <v>1</v>
      </c>
      <c r="G13" s="57" t="n">
        <f aca="false">COUNTIFS(サブスク一覧!E5:E12,"エンタメ",サブスク一覧!F5:F12,"低")</f>
        <v>0</v>
      </c>
      <c r="H13" s="58" t="n">
        <f aca="false">IFERROR(C13/サブスク一覧!C13,0)</f>
        <v>0.197916666666667</v>
      </c>
    </row>
    <row r="14" customFormat="false" ht="24" hidden="false" customHeight="true" outlineLevel="0" collapsed="false">
      <c r="B14" s="24" t="s">
        <v>44</v>
      </c>
      <c r="C14" s="59" t="n">
        <f aca="false">SUMIF(サブスク一覧!E5:E12,"学習",サブスク一覧!C5:C12)</f>
        <v>2000</v>
      </c>
      <c r="D14" s="60" t="n">
        <f aca="false">C14*12</f>
        <v>24000</v>
      </c>
      <c r="E14" s="61" t="n">
        <f aca="false">COUNTIFS(サブスク一覧!E5:E12,"学習",サブスク一覧!F5:F12,"高")</f>
        <v>0</v>
      </c>
      <c r="F14" s="61" t="n">
        <f aca="false">COUNTIFS(サブスク一覧!E5:E12,"学習",サブスク一覧!F5:F12,"中")</f>
        <v>0</v>
      </c>
      <c r="G14" s="61" t="n">
        <f aca="false">COUNTIFS(サブスク一覧!E5:E12,"学習",サブスク一覧!F5:F12,"低")</f>
        <v>1</v>
      </c>
      <c r="H14" s="62" t="n">
        <f aca="false">IFERROR(C14/サブスク一覧!C13,0)</f>
        <v>0.16025641025641</v>
      </c>
    </row>
    <row r="15" customFormat="false" ht="24" hidden="false" customHeight="true" outlineLevel="0" collapsed="false">
      <c r="B15" s="26" t="s">
        <v>50</v>
      </c>
      <c r="C15" s="63" t="n">
        <f aca="false">SUMIF(サブスク一覧!E5:E12,"健康",サブスク一覧!C5:C12)</f>
        <v>1000</v>
      </c>
      <c r="D15" s="64" t="n">
        <f aca="false">C15*12</f>
        <v>12000</v>
      </c>
      <c r="E15" s="65" t="n">
        <f aca="false">COUNTIFS(サブスク一覧!E5:E12,"健康",サブスク一覧!F5:F12,"高")</f>
        <v>0</v>
      </c>
      <c r="F15" s="65" t="n">
        <f aca="false">COUNTIFS(サブスク一覧!E5:E12,"健康",サブスク一覧!F5:F12,"中")</f>
        <v>1</v>
      </c>
      <c r="G15" s="65" t="n">
        <f aca="false">COUNTIFS(サブスク一覧!E5:E12,"健康",サブスク一覧!F5:F12,"低")</f>
        <v>0</v>
      </c>
      <c r="H15" s="66" t="n">
        <f aca="false">IFERROR(C15/サブスク一覧!C13,0)</f>
        <v>0.0801282051282051</v>
      </c>
    </row>
    <row r="17" customFormat="false" ht="12" hidden="false" customHeight="true" outlineLevel="0" collapsed="false"/>
    <row r="18" customFormat="false" ht="25.5" hidden="false" customHeight="true" outlineLevel="0" collapsed="false">
      <c r="B18" s="67" t="s">
        <v>69</v>
      </c>
      <c r="C18" s="67"/>
      <c r="D18" s="67"/>
      <c r="E18" s="67"/>
      <c r="F18" s="67"/>
      <c r="G18" s="67"/>
      <c r="H18" s="67"/>
    </row>
    <row r="19" customFormat="false" ht="21.75" hidden="false" customHeight="true" outlineLevel="0" collapsed="false">
      <c r="B19" s="50" t="s">
        <v>70</v>
      </c>
      <c r="C19" s="49" t="s">
        <v>71</v>
      </c>
      <c r="D19" s="49" t="s">
        <v>63</v>
      </c>
      <c r="E19" s="49" t="s">
        <v>64</v>
      </c>
      <c r="F19" s="49" t="s">
        <v>72</v>
      </c>
    </row>
    <row r="20" customFormat="false" ht="24" hidden="false" customHeight="true" outlineLevel="0" collapsed="false">
      <c r="B20" s="68" t="s">
        <v>73</v>
      </c>
      <c r="C20" s="69" t="n">
        <f aca="false">COUNTIF(サブスク一覧!F5:F12,"高")</f>
        <v>3</v>
      </c>
      <c r="D20" s="70" t="n">
        <f aca="false">SUMIF(サブスク一覧!F5:F12,"高",サブスク一覧!C5:C12)</f>
        <v>5980</v>
      </c>
      <c r="E20" s="71" t="n">
        <f aca="false">D20*12</f>
        <v>71760</v>
      </c>
      <c r="F20" s="22" t="s">
        <v>74</v>
      </c>
    </row>
    <row r="21" customFormat="false" ht="24" hidden="false" customHeight="true" outlineLevel="0" collapsed="false">
      <c r="B21" s="72" t="s">
        <v>75</v>
      </c>
      <c r="C21" s="73" t="n">
        <f aca="false">COUNTIF(サブスク一覧!F5:F12,"中")</f>
        <v>3</v>
      </c>
      <c r="D21" s="74" t="n">
        <f aca="false">SUMIF(サブスク一覧!F5:F12,"中",サブスク一覧!C5:C12)</f>
        <v>3770</v>
      </c>
      <c r="E21" s="75" t="n">
        <f aca="false">D21*12</f>
        <v>45240</v>
      </c>
      <c r="F21" s="76" t="s">
        <v>76</v>
      </c>
    </row>
    <row r="22" customFormat="false" ht="24" hidden="false" customHeight="true" outlineLevel="0" collapsed="false">
      <c r="B22" s="77" t="s">
        <v>77</v>
      </c>
      <c r="C22" s="78" t="n">
        <f aca="false">COUNTIF(サブスク一覧!F5:F12,"低")</f>
        <v>2</v>
      </c>
      <c r="D22" s="79" t="n">
        <f aca="false">SUMIF(サブスク一覧!F5:F12,"低",サブスク一覧!C5:C12)</f>
        <v>2730</v>
      </c>
      <c r="E22" s="80" t="n">
        <f aca="false">D22*12</f>
        <v>32760</v>
      </c>
      <c r="F22" s="7" t="s">
        <v>78</v>
      </c>
    </row>
  </sheetData>
  <mergeCells count="3">
    <mergeCell ref="B2:H2"/>
    <mergeCell ref="B10:H10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3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81" t="s">
        <v>79</v>
      </c>
      <c r="C2" s="81"/>
      <c r="D2" s="81"/>
      <c r="E2" s="81"/>
      <c r="F2" s="81"/>
      <c r="G2" s="81"/>
      <c r="H2" s="81"/>
    </row>
    <row r="3" customFormat="false" ht="9.75" hidden="false" customHeight="true" outlineLevel="0" collapsed="false">
      <c r="B3" s="82" t="s">
        <v>80</v>
      </c>
      <c r="C3" s="82"/>
      <c r="D3" s="82"/>
      <c r="E3" s="82"/>
      <c r="F3" s="82"/>
      <c r="G3" s="82"/>
      <c r="H3" s="82"/>
    </row>
    <row r="4" customFormat="false" ht="27.75" hidden="false" customHeight="true" outlineLevel="0" collapsed="false">
      <c r="B4" s="83" t="s">
        <v>1</v>
      </c>
      <c r="C4" s="83" t="s">
        <v>2</v>
      </c>
      <c r="D4" s="83" t="s">
        <v>3</v>
      </c>
      <c r="E4" s="84" t="s">
        <v>81</v>
      </c>
      <c r="F4" s="83" t="s">
        <v>82</v>
      </c>
      <c r="G4" s="83" t="s">
        <v>83</v>
      </c>
      <c r="H4" s="83" t="s">
        <v>84</v>
      </c>
      <c r="I4" s="83" t="s">
        <v>85</v>
      </c>
    </row>
    <row r="5" customFormat="false" ht="25.5" hidden="false" customHeight="true" outlineLevel="0" collapsed="false">
      <c r="B5" s="3" t="s">
        <v>10</v>
      </c>
      <c r="C5" s="85" t="n">
        <v>3000</v>
      </c>
      <c r="D5" s="86" t="s">
        <v>11</v>
      </c>
      <c r="E5" s="7" t="s">
        <v>13</v>
      </c>
      <c r="F5" s="87" t="s">
        <v>14</v>
      </c>
      <c r="G5" s="88" t="s">
        <v>86</v>
      </c>
      <c r="H5" s="89" t="s">
        <v>87</v>
      </c>
      <c r="I5" s="90"/>
    </row>
    <row r="6" customFormat="false" ht="25.5" hidden="false" customHeight="true" outlineLevel="0" collapsed="false">
      <c r="B6" s="12" t="s">
        <v>17</v>
      </c>
      <c r="C6" s="91" t="n">
        <v>2000</v>
      </c>
      <c r="D6" s="92" t="s">
        <v>88</v>
      </c>
      <c r="E6" s="7" t="s">
        <v>13</v>
      </c>
      <c r="F6" s="87" t="s">
        <v>89</v>
      </c>
      <c r="G6" s="88" t="s">
        <v>86</v>
      </c>
      <c r="H6" s="89" t="s">
        <v>87</v>
      </c>
      <c r="I6" s="93"/>
    </row>
    <row r="7" customFormat="false" ht="25.5" hidden="false" customHeight="true" outlineLevel="0" collapsed="false">
      <c r="B7" s="3" t="s">
        <v>22</v>
      </c>
      <c r="C7" s="85" t="n">
        <v>1280</v>
      </c>
      <c r="D7" s="86" t="s">
        <v>23</v>
      </c>
      <c r="E7" s="19" t="s">
        <v>24</v>
      </c>
      <c r="F7" s="87" t="s">
        <v>90</v>
      </c>
      <c r="G7" s="88" t="s">
        <v>91</v>
      </c>
      <c r="H7" s="94" t="s">
        <v>92</v>
      </c>
      <c r="I7" s="90"/>
    </row>
    <row r="8" customFormat="false" ht="25.5" hidden="false" customHeight="true" outlineLevel="0" collapsed="false">
      <c r="B8" s="12" t="s">
        <v>28</v>
      </c>
      <c r="C8" s="91" t="n">
        <v>730</v>
      </c>
      <c r="D8" s="95" t="s">
        <v>29</v>
      </c>
      <c r="E8" s="22" t="s">
        <v>30</v>
      </c>
      <c r="F8" s="87" t="s">
        <v>31</v>
      </c>
      <c r="G8" s="88" t="s">
        <v>93</v>
      </c>
      <c r="H8" s="96" t="s">
        <v>94</v>
      </c>
      <c r="I8" s="93"/>
    </row>
    <row r="9" customFormat="false" ht="25.5" hidden="false" customHeight="true" outlineLevel="0" collapsed="false">
      <c r="B9" s="3" t="s">
        <v>34</v>
      </c>
      <c r="C9" s="85" t="n">
        <v>980</v>
      </c>
      <c r="D9" s="86" t="s">
        <v>95</v>
      </c>
      <c r="E9" s="7" t="s">
        <v>13</v>
      </c>
      <c r="F9" s="87" t="s">
        <v>14</v>
      </c>
      <c r="G9" s="88" t="s">
        <v>86</v>
      </c>
      <c r="H9" s="89" t="s">
        <v>87</v>
      </c>
      <c r="I9" s="90"/>
    </row>
    <row r="10" customFormat="false" ht="25.5" hidden="false" customHeight="true" outlineLevel="0" collapsed="false">
      <c r="B10" s="12" t="s">
        <v>38</v>
      </c>
      <c r="C10" s="91" t="n">
        <v>1490</v>
      </c>
      <c r="D10" s="95" t="s">
        <v>39</v>
      </c>
      <c r="E10" s="19" t="s">
        <v>24</v>
      </c>
      <c r="F10" s="87" t="s">
        <v>96</v>
      </c>
      <c r="G10" s="88" t="s">
        <v>91</v>
      </c>
      <c r="H10" s="94" t="s">
        <v>92</v>
      </c>
      <c r="I10" s="93"/>
    </row>
    <row r="11" customFormat="false" ht="25.5" hidden="false" customHeight="true" outlineLevel="0" collapsed="false">
      <c r="B11" s="3" t="s">
        <v>42</v>
      </c>
      <c r="C11" s="85" t="n">
        <v>2000</v>
      </c>
      <c r="D11" s="86" t="s">
        <v>43</v>
      </c>
      <c r="E11" s="22" t="s">
        <v>30</v>
      </c>
      <c r="F11" s="87" t="s">
        <v>45</v>
      </c>
      <c r="G11" s="88" t="s">
        <v>93</v>
      </c>
      <c r="H11" s="96" t="s">
        <v>94</v>
      </c>
      <c r="I11" s="90"/>
    </row>
    <row r="12" customFormat="false" ht="25.5" hidden="false" customHeight="true" outlineLevel="0" collapsed="false">
      <c r="B12" s="25" t="s">
        <v>48</v>
      </c>
      <c r="C12" s="91" t="n">
        <v>1000</v>
      </c>
      <c r="D12" s="95" t="s">
        <v>49</v>
      </c>
      <c r="E12" s="19" t="s">
        <v>24</v>
      </c>
      <c r="F12" s="87" t="s">
        <v>97</v>
      </c>
      <c r="G12" s="88" t="s">
        <v>91</v>
      </c>
      <c r="H12" s="94" t="s">
        <v>92</v>
      </c>
      <c r="I12" s="93"/>
    </row>
    <row r="13" customFormat="false" ht="27.75" hidden="false" customHeight="true" outlineLevel="0" collapsed="false">
      <c r="B13" s="97" t="s">
        <v>98</v>
      </c>
      <c r="C13" s="97"/>
    </row>
  </sheetData>
  <mergeCells count="3">
    <mergeCell ref="B2:H2"/>
    <mergeCell ref="B3:H3"/>
    <mergeCell ref="B13:C13"/>
  </mergeCells>
  <dataValidations count="1">
    <dataValidation allowBlank="true" errorStyle="stop" operator="between" showDropDown="false" showErrorMessage="false" showInputMessage="false" sqref="G5:G12" type="list">
      <formula1>"✅ 継続,👀 様子見,🚨 解約予定,⏸ 一時停止"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2026-04-12T22:16:16Z</dcterms:created>
  <dc:creator>openpyxl</dc:creator>
  <dc:description/>
  <dc:language>en-US</dc:language>
  <cp:lastModifiedBy/>
  <dcterms:modified xsi:type="dcterms:W3CDTF">2026-04-13T07:16:21Z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